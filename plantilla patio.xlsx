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transportespibejo-my.sharepoint.com/personal/gestionmadrid_transportespibejo_es/Documents/ADMINISTRACION/ADMIN MADRID/Madrid PATIO/2024/SEPTIEMBRE PATIO/"/>
    </mc:Choice>
  </mc:AlternateContent>
  <xr:revisionPtr revIDLastSave="14144" documentId="13_ncr:1_{91EE7B70-3139-4A5A-8173-3B5F332FC415}" xr6:coauthVersionLast="47" xr6:coauthVersionMax="47" xr10:uidLastSave="{FFB46CBC-B515-4424-9D40-49CA43302B11}"/>
  <bookViews>
    <workbookView xWindow="0" yWindow="1065" windowWidth="21600" windowHeight="14145" xr2:uid="{00000000-000D-0000-FFFF-FFFF00000000}"/>
  </bookViews>
  <sheets>
    <sheet name="PLANTILLA" sheetId="2" r:id="rId1"/>
    <sheet name="DATOS" sheetId="3" r:id="rId2"/>
  </sheets>
  <definedNames>
    <definedName name="_xlnm._FilterDatabase" localSheetId="0" hidden="1">PLANTILLA!$A$1:$AO$1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3" i="2"/>
  <c r="I7" i="2"/>
  <c r="I18" i="2"/>
  <c r="I2" i="2"/>
  <c r="I15" i="2"/>
  <c r="I10" i="2"/>
  <c r="I12" i="2"/>
  <c r="I6" i="2"/>
  <c r="I27" i="2"/>
  <c r="I21" i="2"/>
  <c r="I13" i="2"/>
  <c r="I32" i="2"/>
  <c r="I20" i="2"/>
  <c r="I8" i="2"/>
  <c r="H14" i="3"/>
  <c r="I16" i="2"/>
  <c r="I31" i="2"/>
  <c r="I17" i="2"/>
  <c r="I26" i="2"/>
  <c r="I5" i="2"/>
  <c r="I14" i="2"/>
  <c r="I28" i="2"/>
  <c r="I30" i="2"/>
  <c r="I29" i="2"/>
  <c r="I25" i="2"/>
  <c r="I23" i="2"/>
  <c r="I11" i="2"/>
  <c r="I22" i="2"/>
  <c r="I24" i="2"/>
  <c r="I9" i="2"/>
  <c r="I4" i="2"/>
</calcChain>
</file>

<file path=xl/sharedStrings.xml><?xml version="1.0" encoding="utf-8"?>
<sst xmlns="http://schemas.openxmlformats.org/spreadsheetml/2006/main" count="190" uniqueCount="94">
  <si>
    <t>Cod. Cliente</t>
  </si>
  <si>
    <t>Cod. Consignatario</t>
  </si>
  <si>
    <t>Cod. Comercial</t>
  </si>
  <si>
    <t>Fecha</t>
  </si>
  <si>
    <t>Referencia</t>
  </si>
  <si>
    <t>CMR</t>
  </si>
  <si>
    <t>Tipo</t>
  </si>
  <si>
    <t>TipMer</t>
  </si>
  <si>
    <t>Proyecto</t>
  </si>
  <si>
    <t>Ruta</t>
  </si>
  <si>
    <t>P. Carga</t>
  </si>
  <si>
    <t>Lugar Carga</t>
  </si>
  <si>
    <t>P. Descarga</t>
  </si>
  <si>
    <t>Lugar Descarga</t>
  </si>
  <si>
    <t>Fecha Carga</t>
  </si>
  <si>
    <t>Hora Carga</t>
  </si>
  <si>
    <t>H. Hora Carga</t>
  </si>
  <si>
    <t>Fecha Descarga</t>
  </si>
  <si>
    <t>Hora Descarga</t>
  </si>
  <si>
    <t>H. Hora Descarga</t>
  </si>
  <si>
    <t>Cod. Mercancia</t>
  </si>
  <si>
    <t>Peso</t>
  </si>
  <si>
    <t>Cod. Env</t>
  </si>
  <si>
    <t>Envases</t>
  </si>
  <si>
    <t>Volumen</t>
  </si>
  <si>
    <t>Metros</t>
  </si>
  <si>
    <t>Se Requiere</t>
  </si>
  <si>
    <t>Tipo Requerido</t>
  </si>
  <si>
    <t>Categoria</t>
  </si>
  <si>
    <t>Tipo Facturación</t>
  </si>
  <si>
    <t>cantidad</t>
  </si>
  <si>
    <t>Precio uni</t>
  </si>
  <si>
    <t>Observaciones</t>
  </si>
  <si>
    <t>Vehiculo</t>
  </si>
  <si>
    <t>Remolque</t>
  </si>
  <si>
    <t>Codigo Chofer 1</t>
  </si>
  <si>
    <t>Codigo Chofer 2</t>
  </si>
  <si>
    <t>Cantidad</t>
  </si>
  <si>
    <t>Importe</t>
  </si>
  <si>
    <t>OBSERVACIONES</t>
  </si>
  <si>
    <t>PIBEJO</t>
  </si>
  <si>
    <t>V429</t>
  </si>
  <si>
    <t>4269LRH</t>
  </si>
  <si>
    <t>M111111</t>
  </si>
  <si>
    <t>CAMPOY</t>
  </si>
  <si>
    <t>8161KGB</t>
  </si>
  <si>
    <t>9000HRF</t>
  </si>
  <si>
    <t>9200LGM</t>
  </si>
  <si>
    <t>9725LWM</t>
  </si>
  <si>
    <t>7912HMV</t>
  </si>
  <si>
    <t>4270LRH</t>
  </si>
  <si>
    <t>SIMANCAS E HIJAS</t>
  </si>
  <si>
    <t>1704HLR</t>
  </si>
  <si>
    <t>JESUS ARANDA</t>
  </si>
  <si>
    <t>5490JMT</t>
  </si>
  <si>
    <t>DIOS TE BENDIGA</t>
  </si>
  <si>
    <t>V429.2</t>
  </si>
  <si>
    <t>9882CSH</t>
  </si>
  <si>
    <t>ANGEL MUÑOZ</t>
  </si>
  <si>
    <t>6825CZZ</t>
  </si>
  <si>
    <t>4915HJY</t>
  </si>
  <si>
    <t>8446LHN</t>
  </si>
  <si>
    <t>4694LLL</t>
  </si>
  <si>
    <t>9024LGM</t>
  </si>
  <si>
    <t>2928JHW</t>
  </si>
  <si>
    <t>JUAN CALVO</t>
  </si>
  <si>
    <t>2183JNZ</t>
  </si>
  <si>
    <t>TRANSMAU</t>
  </si>
  <si>
    <t>9528JHX</t>
  </si>
  <si>
    <t>7631FNT</t>
  </si>
  <si>
    <t>5705JYG</t>
  </si>
  <si>
    <t>7478HCJ</t>
  </si>
  <si>
    <t>CANELO</t>
  </si>
  <si>
    <t>9040BNY</t>
  </si>
  <si>
    <t>CONSTANTIN</t>
  </si>
  <si>
    <t>9574HTJ</t>
  </si>
  <si>
    <t>RUBEN CUESTA</t>
  </si>
  <si>
    <t>6614GJF</t>
  </si>
  <si>
    <t>RUTA</t>
  </si>
  <si>
    <t>DESCRIPCION</t>
  </si>
  <si>
    <t>TRANSPORTISTA</t>
  </si>
  <si>
    <t>COBRO / HORA</t>
  </si>
  <si>
    <t>PAGO / HORA</t>
  </si>
  <si>
    <t>PAGO / HORA FESTIVA</t>
  </si>
  <si>
    <t>PATIO VALDEMORO TRAILER</t>
  </si>
  <si>
    <t>MARTIN SIMANCAS</t>
  </si>
  <si>
    <t>V429.1</t>
  </si>
  <si>
    <t>PATIO VALDEMORO DIAS FESTIVOS</t>
  </si>
  <si>
    <t>PATIO VALDEMORO RIGIDO</t>
  </si>
  <si>
    <t>ARANDA</t>
  </si>
  <si>
    <t>ANGEL MUÑOZ (RIGIDO)</t>
  </si>
  <si>
    <t>ALBERTO RAMAL</t>
  </si>
  <si>
    <t>ACUERDO 260</t>
  </si>
  <si>
    <t>REGLA DE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</si>
</sst>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/>
    <xf numFmtId="0" fontId="0" fillId="3" borderId="1" xfId="0" applyFill="1" applyBorder="1" applyAlignment="1">
      <alignment horizontal="center"/>
    </xf>
    <xf numFmtId="0" fontId="2" fillId="2" borderId="1" xfId="0" applyFont="1" applyFill="1" applyBorder="1"/>
    <xf numFmtId="14" fontId="0" fillId="0" borderId="1" xfId="0" applyNumberFormat="1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3" fillId="0" borderId="0" xfId="0" applyFont="1"/>
    <xf numFmtId="0" fontId="5" fillId="4" borderId="2" xfId="0" applyFont="1" applyFill="1" applyBorder="1"/>
    <xf numFmtId="2" fontId="0" fillId="0" borderId="2" xfId="0" applyNumberFormat="1" applyBorder="1"/>
    <xf numFmtId="0" fontId="0" fillId="0" borderId="2" xfId="0" applyBorder="1" applyAlignment="1">
      <alignment horizontal="right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/>
    </xf>
    <xf numFmtId="14" fontId="0" fillId="6" borderId="1" xfId="0" applyNumberFormat="1" applyFill="1" applyBorder="1"/>
    <xf numFmtId="14" fontId="0" fillId="6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4" fontId="6" fillId="3" borderId="1" xfId="0" applyNumberFormat="1" applyFont="1" applyFill="1" applyBorder="1" applyAlignment="1">
      <alignment horizontal="center"/>
    </xf>
    <xf numFmtId="0" fontId="4" fillId="3" borderId="2" xfId="0" applyFont="1" applyFill="1" applyBorder="1"/>
    <xf numFmtId="0" fontId="0" fillId="3" borderId="0" xfId="0" applyFill="1"/>
    <xf numFmtId="0" fontId="4" fillId="3" borderId="1" xfId="0" applyFont="1" applyFill="1" applyBorder="1"/>
    <xf numFmtId="0" fontId="0" fillId="2" borderId="4" xfId="0" applyFill="1" applyBorder="1" applyAlignment="1">
      <alignment horizontal="center"/>
    </xf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2" borderId="1" xfId="0" applyFill="1" applyBorder="1"/>
    <xf numFmtId="49" fontId="0" fillId="2" borderId="1" xfId="0" applyNumberFormat="1" applyFill="1" applyBorder="1"/>
    <xf numFmtId="0" fontId="0" fillId="2" borderId="2" xfId="0" applyFill="1" applyBorder="1" applyAlignment="1">
      <alignment horizontal="center"/>
    </xf>
    <xf numFmtId="0" fontId="0" fillId="3" borderId="1" xfId="0" applyFill="1" applyBorder="1"/>
    <xf numFmtId="14" fontId="0" fillId="0" borderId="1" xfId="0" applyNumberFormat="1" applyBorder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49" fontId="0" fillId="3" borderId="1" xfId="0" applyNumberFormat="1" applyFill="1" applyBorder="1"/>
    <xf numFmtId="0" fontId="0" fillId="2" borderId="3" xfId="0" applyFill="1" applyBorder="1"/>
    <xf numFmtId="0" fontId="5" fillId="0" borderId="1" xfId="0" applyFont="1" applyBorder="1"/>
    <xf numFmtId="0" fontId="0" fillId="0" borderId="2" xfId="0" applyBorder="1" applyAlignment="1">
      <alignment horizontal="center"/>
    </xf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Q33"/>
  <sheetViews>
    <sheetView tabSelected="1" workbookViewId="0">
      <selection activeCell="R6" sqref="R6"/>
    </sheetView>
  </sheetViews>
  <sheetFormatPr defaultColWidth="11.42578125" defaultRowHeight="15"/>
  <cols>
    <col min="1" max="1" width="11.7109375" style="2" bestFit="1" customWidth="1"/>
    <col min="2" max="2" width="19.7109375" style="1" customWidth="1"/>
    <col min="3" max="3" width="14.42578125" style="2" hidden="1" customWidth="1"/>
    <col min="4" max="4" width="11.42578125" style="6" bestFit="1" customWidth="1"/>
    <col min="5" max="5" width="10.42578125" style="2" hidden="1" customWidth="1"/>
    <col min="6" max="6" width="5.28515625" style="1" hidden="1" customWidth="1"/>
    <col min="7" max="7" width="5" style="1" hidden="1" customWidth="1"/>
    <col min="8" max="8" width="7.42578125" style="1" hidden="1" customWidth="1"/>
    <col min="9" max="9" width="8.85546875" style="1" bestFit="1" customWidth="1"/>
    <col min="10" max="10" width="7.28515625" style="1" bestFit="1" customWidth="1"/>
    <col min="11" max="11" width="8.28515625" style="1" hidden="1" customWidth="1"/>
    <col min="12" max="12" width="11.42578125" style="1" hidden="1" customWidth="1"/>
    <col min="13" max="13" width="11.140625" style="1" hidden="1" customWidth="1"/>
    <col min="14" max="14" width="14.5703125" style="1" hidden="1" customWidth="1"/>
    <col min="15" max="15" width="11.7109375" style="1" hidden="1" customWidth="1"/>
    <col min="16" max="16" width="10.85546875" style="3" hidden="1" customWidth="1"/>
    <col min="17" max="17" width="13.28515625" style="3" hidden="1" customWidth="1"/>
    <col min="18" max="18" width="14.85546875" style="2" bestFit="1" customWidth="1"/>
    <col min="19" max="19" width="14" style="3" hidden="1" customWidth="1"/>
    <col min="20" max="20" width="16.28515625" style="3" hidden="1" customWidth="1"/>
    <col min="21" max="21" width="14.85546875" style="1" hidden="1" customWidth="1"/>
    <col min="22" max="22" width="5.28515625" style="1" hidden="1" customWidth="1"/>
    <col min="23" max="23" width="8.7109375" style="1" hidden="1" customWidth="1"/>
    <col min="24" max="24" width="8" style="1" hidden="1" customWidth="1"/>
    <col min="25" max="25" width="9" style="1" hidden="1" customWidth="1"/>
    <col min="26" max="26" width="7.42578125" style="1" hidden="1" customWidth="1"/>
    <col min="27" max="27" width="11.5703125" style="1" hidden="1" customWidth="1"/>
    <col min="28" max="28" width="14.5703125" style="1" hidden="1" customWidth="1"/>
    <col min="29" max="29" width="9.42578125" style="1" hidden="1" customWidth="1"/>
    <col min="30" max="30" width="15.7109375" style="1" hidden="1" customWidth="1"/>
    <col min="31" max="31" width="8.7109375" style="1" bestFit="1" customWidth="1"/>
    <col min="32" max="32" width="9.85546875" style="1" bestFit="1" customWidth="1"/>
    <col min="33" max="33" width="14" style="1" hidden="1" customWidth="1"/>
    <col min="34" max="34" width="9.85546875" style="2" bestFit="1" customWidth="1"/>
    <col min="35" max="35" width="10" style="1" bestFit="1" customWidth="1"/>
    <col min="36" max="37" width="15.28515625" style="1" hidden="1" customWidth="1"/>
    <col min="38" max="38" width="8.85546875" style="1" bestFit="1" customWidth="1"/>
    <col min="39" max="39" width="9.85546875" style="1" bestFit="1" customWidth="1"/>
    <col min="40" max="40" width="8.140625" bestFit="1" customWidth="1"/>
    <col min="41" max="41" width="16.42578125" bestFit="1" customWidth="1"/>
    <col min="42" max="42" width="0" hidden="1" customWidth="1"/>
    <col min="43" max="43" width="22.28515625" style="20" customWidth="1"/>
  </cols>
  <sheetData>
    <row r="1" spans="1:43">
      <c r="A1" s="18" t="s">
        <v>0</v>
      </c>
      <c r="B1" s="19" t="s">
        <v>1</v>
      </c>
      <c r="C1" s="2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31</v>
      </c>
      <c r="AN1" s="19" t="s">
        <v>38</v>
      </c>
      <c r="AO1" s="19" t="s">
        <v>39</v>
      </c>
    </row>
    <row r="2" spans="1:43">
      <c r="A2" s="8">
        <v>2</v>
      </c>
      <c r="B2" s="26" t="s">
        <v>40</v>
      </c>
      <c r="D2" s="17">
        <v>46049</v>
      </c>
      <c r="E2" s="32"/>
      <c r="F2" s="30"/>
      <c r="G2" s="30"/>
      <c r="H2" s="30"/>
      <c r="I2" s="8" t="str">
        <f>MID(J2, 1, 4)</f>
        <v>V429</v>
      </c>
      <c r="J2" s="32" t="s">
        <v>41</v>
      </c>
      <c r="K2" s="30"/>
      <c r="L2" s="30"/>
      <c r="M2" s="30"/>
      <c r="N2" s="30"/>
      <c r="O2" s="30"/>
      <c r="P2" s="31"/>
      <c r="Q2" s="31"/>
      <c r="R2" s="17">
        <v>46049</v>
      </c>
      <c r="S2" s="31"/>
      <c r="T2" s="31"/>
      <c r="U2" s="30"/>
      <c r="V2" s="30"/>
      <c r="W2" s="30"/>
      <c r="X2" s="30"/>
      <c r="Y2" s="30"/>
      <c r="Z2" s="30"/>
      <c r="AA2" s="30"/>
      <c r="AB2" s="30"/>
      <c r="AC2" s="30"/>
      <c r="AD2" s="30"/>
      <c r="AE2" s="28">
        <v>8</v>
      </c>
      <c r="AF2" s="16">
        <v>32</v>
      </c>
      <c r="AG2" s="30"/>
      <c r="AH2" s="43" t="s">
        <v>42</v>
      </c>
      <c r="AI2" s="8" t="s">
        <v>43</v>
      </c>
      <c r="AJ2" s="5"/>
      <c r="AK2" s="5"/>
      <c r="AL2" s="8">
        <v>0</v>
      </c>
      <c r="AM2" s="8">
        <v>0</v>
      </c>
      <c r="AN2" s="23"/>
    </row>
    <row r="3" spans="1:43">
      <c r="A3" s="4">
        <v>2</v>
      </c>
      <c r="B3" s="27" t="s">
        <v>44</v>
      </c>
      <c r="C3" s="34"/>
      <c r="D3" s="21">
        <v>46049</v>
      </c>
      <c r="E3" s="22"/>
      <c r="F3" s="33"/>
      <c r="G3" s="35"/>
      <c r="H3" s="33"/>
      <c r="I3" s="4" t="str">
        <f>MID(J3, 1, 4)</f>
        <v>V429</v>
      </c>
      <c r="J3" s="36" t="s">
        <v>41</v>
      </c>
      <c r="K3" s="33"/>
      <c r="L3" s="33"/>
      <c r="M3" s="33"/>
      <c r="N3" s="33"/>
      <c r="O3" s="33"/>
      <c r="P3" s="37"/>
      <c r="Q3" s="37"/>
      <c r="R3" s="21">
        <v>46049</v>
      </c>
      <c r="S3" s="37"/>
      <c r="T3" s="37"/>
      <c r="U3" s="33"/>
      <c r="V3" s="33"/>
      <c r="W3" s="33"/>
      <c r="X3" s="33"/>
      <c r="Y3" s="33"/>
      <c r="Z3" s="33"/>
      <c r="AA3" s="33"/>
      <c r="AB3" s="33"/>
      <c r="AC3" s="33"/>
      <c r="AD3" s="33"/>
      <c r="AE3" s="29">
        <v>8</v>
      </c>
      <c r="AF3" s="13">
        <v>32</v>
      </c>
      <c r="AG3" s="33"/>
      <c r="AH3" s="46" t="s">
        <v>45</v>
      </c>
      <c r="AI3" s="4" t="s">
        <v>43</v>
      </c>
      <c r="AJ3" s="15"/>
      <c r="AK3" s="15"/>
      <c r="AL3" s="2">
        <v>8</v>
      </c>
      <c r="AM3" s="14">
        <v>25</v>
      </c>
      <c r="AN3" s="23"/>
    </row>
    <row r="4" spans="1:43" ht="15" customHeight="1">
      <c r="A4" s="8">
        <v>2</v>
      </c>
      <c r="B4" s="26" t="s">
        <v>40</v>
      </c>
      <c r="D4" s="17">
        <v>46049</v>
      </c>
      <c r="E4" s="32"/>
      <c r="F4" s="30"/>
      <c r="G4" s="30"/>
      <c r="H4" s="30"/>
      <c r="I4" s="8" t="str">
        <f>MID(J4, 1, 4)</f>
        <v>V429</v>
      </c>
      <c r="J4" s="32" t="s">
        <v>41</v>
      </c>
      <c r="K4" s="30"/>
      <c r="L4" s="30"/>
      <c r="M4" s="30"/>
      <c r="N4" s="30"/>
      <c r="O4" s="30"/>
      <c r="P4" s="31"/>
      <c r="Q4" s="31"/>
      <c r="R4" s="17">
        <v>46049</v>
      </c>
      <c r="S4" s="31"/>
      <c r="T4" s="31"/>
      <c r="U4" s="30"/>
      <c r="V4" s="30"/>
      <c r="W4" s="30"/>
      <c r="X4" s="30"/>
      <c r="Y4" s="30"/>
      <c r="Z4" s="30"/>
      <c r="AA4" s="30"/>
      <c r="AB4" s="30"/>
      <c r="AC4" s="30"/>
      <c r="AD4" s="30"/>
      <c r="AE4" s="28">
        <v>8</v>
      </c>
      <c r="AF4" s="16">
        <v>32</v>
      </c>
      <c r="AG4" s="30"/>
      <c r="AH4" s="43" t="s">
        <v>46</v>
      </c>
      <c r="AI4" s="8" t="s">
        <v>43</v>
      </c>
      <c r="AJ4" s="5"/>
      <c r="AK4" s="5"/>
      <c r="AL4" s="8">
        <v>0</v>
      </c>
      <c r="AM4" s="8">
        <v>0</v>
      </c>
      <c r="AN4" s="23"/>
    </row>
    <row r="5" spans="1:43" ht="15" customHeight="1">
      <c r="A5" s="8">
        <v>2</v>
      </c>
      <c r="B5" s="26" t="s">
        <v>40</v>
      </c>
      <c r="D5" s="17">
        <v>46049</v>
      </c>
      <c r="E5" s="32"/>
      <c r="F5" s="30"/>
      <c r="G5" s="30"/>
      <c r="H5" s="30"/>
      <c r="I5" s="8" t="str">
        <f>MID(J5, 1, 4)</f>
        <v>V429</v>
      </c>
      <c r="J5" s="32" t="s">
        <v>41</v>
      </c>
      <c r="K5" s="30"/>
      <c r="L5" s="30"/>
      <c r="M5" s="30"/>
      <c r="N5" s="30"/>
      <c r="O5" s="30"/>
      <c r="P5" s="31"/>
      <c r="Q5" s="31"/>
      <c r="R5" s="17">
        <v>46049</v>
      </c>
      <c r="S5" s="31"/>
      <c r="T5" s="31"/>
      <c r="U5" s="30"/>
      <c r="V5" s="30"/>
      <c r="W5" s="30"/>
      <c r="X5" s="30"/>
      <c r="Y5" s="30"/>
      <c r="Z5" s="30"/>
      <c r="AA5" s="30"/>
      <c r="AB5" s="30"/>
      <c r="AC5" s="30"/>
      <c r="AD5" s="30"/>
      <c r="AE5" s="28">
        <v>8</v>
      </c>
      <c r="AF5" s="16">
        <v>32</v>
      </c>
      <c r="AG5" s="33"/>
      <c r="AH5" s="43" t="s">
        <v>47</v>
      </c>
      <c r="AI5" s="8" t="s">
        <v>43</v>
      </c>
      <c r="AJ5" s="5"/>
      <c r="AK5" s="5"/>
      <c r="AL5" s="8">
        <v>0</v>
      </c>
      <c r="AM5" s="8">
        <v>0</v>
      </c>
      <c r="AN5" s="23"/>
    </row>
    <row r="6" spans="1:43" ht="15" customHeight="1">
      <c r="A6" s="8">
        <v>2</v>
      </c>
      <c r="B6" s="26" t="s">
        <v>40</v>
      </c>
      <c r="D6" s="17">
        <v>46049</v>
      </c>
      <c r="E6" s="32"/>
      <c r="F6" s="30"/>
      <c r="G6" s="30"/>
      <c r="H6" s="30"/>
      <c r="I6" s="8" t="str">
        <f>MID(J6, 1, 4)</f>
        <v>V429</v>
      </c>
      <c r="J6" s="32" t="s">
        <v>41</v>
      </c>
      <c r="K6" s="30"/>
      <c r="L6" s="30"/>
      <c r="M6" s="30"/>
      <c r="N6" s="30"/>
      <c r="O6" s="30"/>
      <c r="P6" s="31"/>
      <c r="Q6" s="31"/>
      <c r="R6" s="17">
        <v>46049</v>
      </c>
      <c r="S6" s="31"/>
      <c r="T6" s="31"/>
      <c r="U6" s="30"/>
      <c r="V6" s="30"/>
      <c r="W6" s="30"/>
      <c r="X6" s="30"/>
      <c r="Y6" s="30"/>
      <c r="Z6" s="30"/>
      <c r="AA6" s="30"/>
      <c r="AB6" s="30"/>
      <c r="AC6" s="30"/>
      <c r="AD6" s="30"/>
      <c r="AE6" s="28">
        <v>8</v>
      </c>
      <c r="AF6" s="16">
        <v>32</v>
      </c>
      <c r="AG6" s="33"/>
      <c r="AH6" s="43" t="s">
        <v>48</v>
      </c>
      <c r="AI6" s="8" t="s">
        <v>43</v>
      </c>
      <c r="AJ6" s="5"/>
      <c r="AK6" s="5"/>
      <c r="AL6" s="8">
        <v>0</v>
      </c>
      <c r="AM6" s="8">
        <v>0</v>
      </c>
      <c r="AN6" s="23"/>
    </row>
    <row r="7" spans="1:43" ht="15" customHeight="1">
      <c r="A7" s="16">
        <v>2</v>
      </c>
      <c r="B7" s="26" t="s">
        <v>40</v>
      </c>
      <c r="C7" s="30"/>
      <c r="D7" s="17">
        <v>46049</v>
      </c>
      <c r="E7" s="8"/>
      <c r="F7" s="5"/>
      <c r="G7" s="5"/>
      <c r="H7" s="8"/>
      <c r="I7" s="8" t="str">
        <f>MID(J7, 1, 4)</f>
        <v>V429</v>
      </c>
      <c r="J7" s="8" t="s">
        <v>41</v>
      </c>
      <c r="K7" s="30"/>
      <c r="L7" s="30"/>
      <c r="M7" s="30"/>
      <c r="N7" s="30"/>
      <c r="O7" s="30"/>
      <c r="P7" s="31"/>
      <c r="Q7" s="31"/>
      <c r="R7" s="17">
        <v>46049</v>
      </c>
      <c r="S7" s="31"/>
      <c r="T7" s="31"/>
      <c r="U7" s="30"/>
      <c r="V7" s="30"/>
      <c r="W7" s="30"/>
      <c r="X7" s="30"/>
      <c r="Y7" s="30"/>
      <c r="Z7" s="30"/>
      <c r="AA7" s="30"/>
      <c r="AB7" s="30"/>
      <c r="AC7" s="30"/>
      <c r="AD7" s="30"/>
      <c r="AE7" s="28">
        <v>8</v>
      </c>
      <c r="AF7" s="16">
        <v>32</v>
      </c>
      <c r="AG7" s="30"/>
      <c r="AH7" s="45" t="s">
        <v>49</v>
      </c>
      <c r="AI7" s="8" t="s">
        <v>43</v>
      </c>
      <c r="AJ7" s="5"/>
      <c r="AK7" s="5"/>
      <c r="AL7" s="16">
        <v>0</v>
      </c>
      <c r="AM7" s="8">
        <v>0</v>
      </c>
      <c r="AN7" s="23"/>
    </row>
    <row r="8" spans="1:43">
      <c r="A8" s="16">
        <v>2</v>
      </c>
      <c r="B8" s="26" t="s">
        <v>40</v>
      </c>
      <c r="C8" s="30"/>
      <c r="D8" s="17">
        <v>46049</v>
      </c>
      <c r="E8" s="8"/>
      <c r="F8" s="5"/>
      <c r="G8" s="5"/>
      <c r="H8" s="8"/>
      <c r="I8" s="8" t="str">
        <f>MID(J8, 1, 4)</f>
        <v>V429</v>
      </c>
      <c r="J8" s="8" t="s">
        <v>41</v>
      </c>
      <c r="K8" s="30"/>
      <c r="L8" s="30"/>
      <c r="M8" s="30"/>
      <c r="N8" s="30"/>
      <c r="O8" s="30"/>
      <c r="P8" s="31"/>
      <c r="Q8" s="31"/>
      <c r="R8" s="17">
        <v>46049</v>
      </c>
      <c r="S8" s="31"/>
      <c r="T8" s="31"/>
      <c r="U8" s="30"/>
      <c r="V8" s="30"/>
      <c r="W8" s="30"/>
      <c r="X8" s="30"/>
      <c r="Y8" s="30"/>
      <c r="Z8" s="30"/>
      <c r="AA8" s="30"/>
      <c r="AB8" s="30"/>
      <c r="AC8" s="30"/>
      <c r="AD8" s="30"/>
      <c r="AE8" s="28">
        <v>8</v>
      </c>
      <c r="AF8" s="16">
        <v>32</v>
      </c>
      <c r="AG8" s="30"/>
      <c r="AH8" s="45" t="s">
        <v>50</v>
      </c>
      <c r="AI8" s="8" t="s">
        <v>43</v>
      </c>
      <c r="AJ8" s="5"/>
      <c r="AK8" s="5"/>
      <c r="AL8" s="16">
        <v>0</v>
      </c>
      <c r="AM8" s="8">
        <v>0</v>
      </c>
      <c r="AN8" s="23"/>
    </row>
    <row r="9" spans="1:43" s="9" customFormat="1" ht="15" customHeight="1">
      <c r="A9" s="4">
        <v>2</v>
      </c>
      <c r="B9" s="27" t="s">
        <v>51</v>
      </c>
      <c r="C9" s="34"/>
      <c r="D9" s="21">
        <v>46049</v>
      </c>
      <c r="E9" s="22"/>
      <c r="F9" s="33"/>
      <c r="G9" s="35"/>
      <c r="H9" s="33"/>
      <c r="I9" s="4" t="str">
        <f>MID(J9, 1, 4)</f>
        <v>V429</v>
      </c>
      <c r="J9" s="36" t="s">
        <v>41</v>
      </c>
      <c r="K9" s="33"/>
      <c r="L9" s="33"/>
      <c r="M9" s="33"/>
      <c r="N9" s="33"/>
      <c r="O9" s="33"/>
      <c r="P9" s="37"/>
      <c r="Q9" s="37"/>
      <c r="R9" s="21">
        <v>46049</v>
      </c>
      <c r="S9" s="37"/>
      <c r="T9" s="37"/>
      <c r="U9" s="33"/>
      <c r="V9" s="33"/>
      <c r="W9" s="33"/>
      <c r="X9" s="33"/>
      <c r="Y9" s="33"/>
      <c r="Z9" s="33"/>
      <c r="AA9" s="33"/>
      <c r="AB9" s="33"/>
      <c r="AC9" s="33"/>
      <c r="AD9" s="33"/>
      <c r="AE9" s="29">
        <v>8</v>
      </c>
      <c r="AF9" s="13">
        <v>32</v>
      </c>
      <c r="AG9" s="33"/>
      <c r="AH9" s="46" t="s">
        <v>52</v>
      </c>
      <c r="AI9" s="4" t="s">
        <v>43</v>
      </c>
      <c r="AJ9" s="15"/>
      <c r="AK9" s="15"/>
      <c r="AL9" s="2">
        <v>8</v>
      </c>
      <c r="AM9" s="14">
        <v>25</v>
      </c>
      <c r="AN9" s="23"/>
      <c r="AO9"/>
      <c r="AP9"/>
      <c r="AQ9" s="20"/>
    </row>
    <row r="10" spans="1:43" s="9" customFormat="1" ht="15" customHeight="1">
      <c r="A10" s="4">
        <v>2</v>
      </c>
      <c r="B10" s="27" t="s">
        <v>53</v>
      </c>
      <c r="C10" s="34"/>
      <c r="D10" s="21">
        <v>46049</v>
      </c>
      <c r="E10" s="24"/>
      <c r="F10" s="33"/>
      <c r="G10" s="35"/>
      <c r="H10" s="33"/>
      <c r="I10" s="4" t="str">
        <f>MID(J10, 1, 4)</f>
        <v>V429</v>
      </c>
      <c r="J10" s="4" t="s">
        <v>41</v>
      </c>
      <c r="K10" s="33"/>
      <c r="L10" s="33"/>
      <c r="M10" s="33"/>
      <c r="N10" s="33"/>
      <c r="O10" s="33"/>
      <c r="P10" s="37"/>
      <c r="Q10" s="37"/>
      <c r="R10" s="21">
        <v>46049</v>
      </c>
      <c r="S10" s="37"/>
      <c r="T10" s="37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29">
        <v>8</v>
      </c>
      <c r="AF10" s="13">
        <v>32</v>
      </c>
      <c r="AG10" s="33"/>
      <c r="AH10" s="46" t="s">
        <v>54</v>
      </c>
      <c r="AI10" s="4" t="s">
        <v>43</v>
      </c>
      <c r="AJ10" s="15"/>
      <c r="AK10" s="15"/>
      <c r="AL10" s="2">
        <v>8</v>
      </c>
      <c r="AM10" s="14">
        <v>25</v>
      </c>
      <c r="AN10" s="23"/>
      <c r="AO10"/>
      <c r="AP10"/>
      <c r="AQ10" s="20"/>
    </row>
    <row r="11" spans="1:43">
      <c r="A11" s="4">
        <v>2</v>
      </c>
      <c r="B11" s="27" t="s">
        <v>55</v>
      </c>
      <c r="C11" s="34"/>
      <c r="D11" s="21">
        <v>46049</v>
      </c>
      <c r="E11" s="22"/>
      <c r="F11" s="33"/>
      <c r="G11" s="35"/>
      <c r="H11" s="33"/>
      <c r="I11" s="4" t="str">
        <f>MID(J11, 1, 4)</f>
        <v>V429</v>
      </c>
      <c r="J11" s="40" t="s">
        <v>56</v>
      </c>
      <c r="K11" s="33"/>
      <c r="L11" s="33"/>
      <c r="M11" s="33"/>
      <c r="N11" s="33"/>
      <c r="O11" s="33"/>
      <c r="P11" s="37"/>
      <c r="Q11" s="37"/>
      <c r="R11" s="21">
        <v>46049</v>
      </c>
      <c r="S11" s="37"/>
      <c r="T11" s="37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29">
        <v>8</v>
      </c>
      <c r="AF11" s="13">
        <v>28</v>
      </c>
      <c r="AG11" s="33"/>
      <c r="AH11" s="46" t="s">
        <v>57</v>
      </c>
      <c r="AI11" s="4" t="s">
        <v>43</v>
      </c>
      <c r="AJ11" s="15"/>
      <c r="AK11" s="15"/>
      <c r="AL11" s="2">
        <v>8</v>
      </c>
      <c r="AM11" s="14">
        <v>22.5</v>
      </c>
      <c r="AN11" s="23"/>
    </row>
    <row r="12" spans="1:43">
      <c r="A12" s="4">
        <v>2</v>
      </c>
      <c r="B12" s="27" t="s">
        <v>58</v>
      </c>
      <c r="C12" s="34"/>
      <c r="D12" s="21">
        <v>46049</v>
      </c>
      <c r="E12" s="22"/>
      <c r="F12" s="33"/>
      <c r="G12" s="35"/>
      <c r="H12" s="33"/>
      <c r="I12" s="4" t="str">
        <f>MID(J12, 1, 4)</f>
        <v>V429</v>
      </c>
      <c r="J12" s="40" t="s">
        <v>56</v>
      </c>
      <c r="K12" s="33"/>
      <c r="L12" s="33"/>
      <c r="M12" s="33"/>
      <c r="N12" s="33"/>
      <c r="O12" s="33"/>
      <c r="P12" s="37"/>
      <c r="Q12" s="37"/>
      <c r="R12" s="21">
        <v>46049</v>
      </c>
      <c r="S12" s="37"/>
      <c r="T12" s="37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29">
        <v>8</v>
      </c>
      <c r="AF12" s="13">
        <v>28</v>
      </c>
      <c r="AG12" s="33"/>
      <c r="AH12" s="46" t="s">
        <v>59</v>
      </c>
      <c r="AI12" s="4" t="s">
        <v>43</v>
      </c>
      <c r="AJ12" s="15"/>
      <c r="AK12" s="15"/>
      <c r="AL12" s="2">
        <v>8</v>
      </c>
      <c r="AM12" s="14">
        <v>22.5</v>
      </c>
      <c r="AN12" s="23"/>
    </row>
    <row r="13" spans="1:43">
      <c r="A13" s="16">
        <v>2</v>
      </c>
      <c r="B13" s="26" t="s">
        <v>40</v>
      </c>
      <c r="C13" s="30"/>
      <c r="D13" s="17">
        <v>46049</v>
      </c>
      <c r="E13" s="8"/>
      <c r="F13" s="5"/>
      <c r="G13" s="5"/>
      <c r="H13" s="8"/>
      <c r="I13" s="8" t="str">
        <f>MID(J13, 1, 4)</f>
        <v>V429</v>
      </c>
      <c r="J13" s="8" t="s">
        <v>41</v>
      </c>
      <c r="K13" s="30"/>
      <c r="L13" s="30"/>
      <c r="M13" s="30"/>
      <c r="N13" s="30"/>
      <c r="O13" s="30"/>
      <c r="P13" s="31"/>
      <c r="Q13" s="31"/>
      <c r="R13" s="17">
        <v>46049</v>
      </c>
      <c r="S13" s="31"/>
      <c r="T13" s="31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28">
        <v>8</v>
      </c>
      <c r="AF13" s="16">
        <v>32</v>
      </c>
      <c r="AG13" s="30"/>
      <c r="AH13" s="43" t="s">
        <v>48</v>
      </c>
      <c r="AI13" s="8" t="s">
        <v>43</v>
      </c>
      <c r="AJ13" s="5"/>
      <c r="AK13" s="5"/>
      <c r="AL13" s="16">
        <v>0</v>
      </c>
      <c r="AM13" s="8">
        <v>0</v>
      </c>
      <c r="AN13" s="23"/>
    </row>
    <row r="14" spans="1:43" s="9" customFormat="1" ht="15" customHeight="1">
      <c r="A14" s="16">
        <v>2</v>
      </c>
      <c r="B14" s="26" t="s">
        <v>40</v>
      </c>
      <c r="C14" s="30"/>
      <c r="D14" s="17">
        <v>46049</v>
      </c>
      <c r="E14" s="8"/>
      <c r="F14" s="5"/>
      <c r="G14" s="5"/>
      <c r="H14" s="8"/>
      <c r="I14" s="8" t="str">
        <f>MID(J14, 1, 4)</f>
        <v>V429</v>
      </c>
      <c r="J14" s="8" t="s">
        <v>41</v>
      </c>
      <c r="K14" s="30"/>
      <c r="L14" s="30"/>
      <c r="M14" s="30"/>
      <c r="N14" s="30"/>
      <c r="O14" s="30"/>
      <c r="P14" s="31"/>
      <c r="Q14" s="31"/>
      <c r="R14" s="17">
        <v>46049</v>
      </c>
      <c r="S14" s="31"/>
      <c r="T14" s="31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28">
        <v>8</v>
      </c>
      <c r="AF14" s="16">
        <v>32</v>
      </c>
      <c r="AG14" s="30"/>
      <c r="AH14" s="45" t="s">
        <v>60</v>
      </c>
      <c r="AI14" s="8" t="s">
        <v>43</v>
      </c>
      <c r="AJ14" s="5"/>
      <c r="AK14" s="5"/>
      <c r="AL14" s="16">
        <v>0</v>
      </c>
      <c r="AM14" s="8">
        <v>0</v>
      </c>
      <c r="AN14" s="23"/>
      <c r="AO14"/>
      <c r="AP14"/>
      <c r="AQ14" s="20"/>
    </row>
    <row r="15" spans="1:43" s="9" customFormat="1" ht="15" customHeight="1">
      <c r="A15" s="16">
        <v>2</v>
      </c>
      <c r="B15" s="26" t="s">
        <v>40</v>
      </c>
      <c r="C15" s="30"/>
      <c r="D15" s="17">
        <v>46049</v>
      </c>
      <c r="E15" s="8"/>
      <c r="F15" s="5"/>
      <c r="G15" s="5"/>
      <c r="H15" s="8"/>
      <c r="I15" s="8" t="str">
        <f>MID(J15, 1, 4)</f>
        <v>V429</v>
      </c>
      <c r="J15" s="8" t="s">
        <v>41</v>
      </c>
      <c r="K15" s="30"/>
      <c r="L15" s="30"/>
      <c r="M15" s="30"/>
      <c r="N15" s="30"/>
      <c r="O15" s="30"/>
      <c r="P15" s="31"/>
      <c r="Q15" s="31"/>
      <c r="R15" s="17">
        <v>46049</v>
      </c>
      <c r="S15" s="31"/>
      <c r="T15" s="31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28">
        <v>8</v>
      </c>
      <c r="AF15" s="16">
        <v>32</v>
      </c>
      <c r="AG15" s="30"/>
      <c r="AH15" s="45" t="s">
        <v>61</v>
      </c>
      <c r="AI15" s="8" t="s">
        <v>43</v>
      </c>
      <c r="AJ15" s="5"/>
      <c r="AK15" s="5"/>
      <c r="AL15" s="16">
        <v>0</v>
      </c>
      <c r="AM15" s="8">
        <v>0</v>
      </c>
      <c r="AN15" s="23"/>
      <c r="AO15"/>
      <c r="AP15"/>
      <c r="AQ15" s="20"/>
    </row>
    <row r="16" spans="1:43">
      <c r="A16" s="4">
        <v>2</v>
      </c>
      <c r="B16" s="27" t="s">
        <v>53</v>
      </c>
      <c r="C16" s="34"/>
      <c r="D16" s="21">
        <v>46049</v>
      </c>
      <c r="E16" s="24"/>
      <c r="F16" s="33"/>
      <c r="G16" s="35"/>
      <c r="H16" s="33"/>
      <c r="I16" s="4" t="str">
        <f>MID(J16, 1, 4)</f>
        <v>V429</v>
      </c>
      <c r="J16" s="4" t="s">
        <v>41</v>
      </c>
      <c r="K16" s="33"/>
      <c r="L16" s="33"/>
      <c r="M16" s="33"/>
      <c r="N16" s="33"/>
      <c r="O16" s="33"/>
      <c r="P16" s="37"/>
      <c r="Q16" s="37"/>
      <c r="R16" s="21">
        <v>46049</v>
      </c>
      <c r="S16" s="37"/>
      <c r="T16" s="37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29">
        <v>9</v>
      </c>
      <c r="AF16" s="13">
        <v>32</v>
      </c>
      <c r="AG16" s="33"/>
      <c r="AH16" s="46" t="s">
        <v>54</v>
      </c>
      <c r="AI16" s="4" t="s">
        <v>43</v>
      </c>
      <c r="AJ16" s="15"/>
      <c r="AK16" s="15"/>
      <c r="AL16" s="2">
        <v>9</v>
      </c>
      <c r="AM16" s="14">
        <v>25</v>
      </c>
      <c r="AN16" s="23"/>
    </row>
    <row r="17" spans="1:40">
      <c r="A17" s="4">
        <v>2</v>
      </c>
      <c r="B17" s="27" t="s">
        <v>44</v>
      </c>
      <c r="C17" s="34"/>
      <c r="D17" s="21">
        <v>46049</v>
      </c>
      <c r="E17" s="24"/>
      <c r="F17" s="33"/>
      <c r="G17" s="35"/>
      <c r="H17" s="33"/>
      <c r="I17" s="4" t="str">
        <f>MID(J17, 1, 4)</f>
        <v>V429</v>
      </c>
      <c r="J17" s="4" t="s">
        <v>41</v>
      </c>
      <c r="K17" s="33"/>
      <c r="L17" s="33"/>
      <c r="M17" s="33"/>
      <c r="N17" s="33"/>
      <c r="O17" s="33"/>
      <c r="P17" s="37"/>
      <c r="Q17" s="37"/>
      <c r="R17" s="21">
        <v>46049</v>
      </c>
      <c r="S17" s="37"/>
      <c r="T17" s="37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29">
        <v>9</v>
      </c>
      <c r="AF17" s="13">
        <v>32</v>
      </c>
      <c r="AG17" s="33"/>
      <c r="AH17" s="46" t="s">
        <v>62</v>
      </c>
      <c r="AI17" s="4" t="s">
        <v>43</v>
      </c>
      <c r="AJ17" s="15"/>
      <c r="AK17" s="15"/>
      <c r="AL17" s="2">
        <v>9</v>
      </c>
      <c r="AM17" s="14">
        <v>25</v>
      </c>
      <c r="AN17" s="23"/>
    </row>
    <row r="18" spans="1:40">
      <c r="A18" s="4">
        <v>2</v>
      </c>
      <c r="B18" s="27" t="s">
        <v>44</v>
      </c>
      <c r="C18" s="34"/>
      <c r="D18" s="21">
        <v>46049</v>
      </c>
      <c r="E18" s="24"/>
      <c r="F18" s="33"/>
      <c r="G18" s="35"/>
      <c r="H18" s="33"/>
      <c r="I18" s="4" t="str">
        <f>MID(J18, 1, 4)</f>
        <v>V429</v>
      </c>
      <c r="J18" s="4" t="s">
        <v>41</v>
      </c>
      <c r="K18" s="33"/>
      <c r="L18" s="33"/>
      <c r="M18" s="33"/>
      <c r="N18" s="33"/>
      <c r="O18" s="33"/>
      <c r="P18" s="37"/>
      <c r="Q18" s="37"/>
      <c r="R18" s="21">
        <v>46049</v>
      </c>
      <c r="S18" s="37"/>
      <c r="T18" s="37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29">
        <v>9</v>
      </c>
      <c r="AF18" s="13">
        <v>32</v>
      </c>
      <c r="AG18" s="33"/>
      <c r="AH18" s="46" t="s">
        <v>45</v>
      </c>
      <c r="AI18" s="4" t="s">
        <v>43</v>
      </c>
      <c r="AJ18" s="15"/>
      <c r="AK18" s="15"/>
      <c r="AL18" s="2">
        <v>9</v>
      </c>
      <c r="AM18" s="14">
        <v>25</v>
      </c>
      <c r="AN18" s="23"/>
    </row>
    <row r="19" spans="1:40">
      <c r="A19" s="16">
        <v>2</v>
      </c>
      <c r="B19" s="26" t="s">
        <v>40</v>
      </c>
      <c r="C19" s="30"/>
      <c r="D19" s="17">
        <v>46049</v>
      </c>
      <c r="E19" s="8"/>
      <c r="F19" s="5"/>
      <c r="G19" s="5"/>
      <c r="H19" s="8"/>
      <c r="I19" s="8" t="str">
        <f>MID(J19, 1, 4)</f>
        <v>V429</v>
      </c>
      <c r="J19" s="8" t="s">
        <v>41</v>
      </c>
      <c r="K19" s="30"/>
      <c r="L19" s="30"/>
      <c r="M19" s="30"/>
      <c r="N19" s="30"/>
      <c r="O19" s="30"/>
      <c r="P19" s="31"/>
      <c r="Q19" s="31"/>
      <c r="R19" s="17">
        <v>46049</v>
      </c>
      <c r="S19" s="31"/>
      <c r="T19" s="31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28">
        <v>9</v>
      </c>
      <c r="AF19" s="16">
        <v>32</v>
      </c>
      <c r="AG19" s="38"/>
      <c r="AH19" s="43" t="s">
        <v>47</v>
      </c>
      <c r="AI19" s="25" t="s">
        <v>43</v>
      </c>
      <c r="AJ19" s="5"/>
      <c r="AK19" s="5"/>
      <c r="AL19" s="16">
        <v>0</v>
      </c>
      <c r="AM19" s="8">
        <v>0</v>
      </c>
      <c r="AN19" s="23"/>
    </row>
    <row r="20" spans="1:40">
      <c r="A20" s="16">
        <v>2</v>
      </c>
      <c r="B20" s="26" t="s">
        <v>40</v>
      </c>
      <c r="C20" s="30"/>
      <c r="D20" s="17">
        <v>46049</v>
      </c>
      <c r="E20" s="8"/>
      <c r="F20" s="5"/>
      <c r="G20" s="5"/>
      <c r="H20" s="8"/>
      <c r="I20" s="8" t="str">
        <f>MID(J20, 1, 4)</f>
        <v>V429</v>
      </c>
      <c r="J20" s="8" t="s">
        <v>41</v>
      </c>
      <c r="K20" s="30"/>
      <c r="L20" s="30"/>
      <c r="M20" s="30"/>
      <c r="N20" s="30"/>
      <c r="O20" s="30"/>
      <c r="P20" s="31"/>
      <c r="Q20" s="31"/>
      <c r="R20" s="17">
        <v>46049</v>
      </c>
      <c r="S20" s="31"/>
      <c r="T20" s="31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28">
        <v>9</v>
      </c>
      <c r="AF20" s="16">
        <v>32</v>
      </c>
      <c r="AG20" s="38"/>
      <c r="AH20" s="43" t="s">
        <v>63</v>
      </c>
      <c r="AI20" s="25" t="s">
        <v>43</v>
      </c>
      <c r="AJ20" s="5"/>
      <c r="AK20" s="5"/>
      <c r="AL20" s="16">
        <v>0</v>
      </c>
      <c r="AM20" s="8">
        <v>0</v>
      </c>
      <c r="AN20" s="23"/>
    </row>
    <row r="21" spans="1:40">
      <c r="A21" s="16">
        <v>2</v>
      </c>
      <c r="B21" s="26" t="s">
        <v>40</v>
      </c>
      <c r="C21" s="30"/>
      <c r="D21" s="17">
        <v>46049</v>
      </c>
      <c r="E21" s="8"/>
      <c r="F21" s="5"/>
      <c r="G21" s="5"/>
      <c r="H21" s="8"/>
      <c r="I21" s="8" t="str">
        <f>MID(J21, 1, 4)</f>
        <v>V429</v>
      </c>
      <c r="J21" s="8" t="s">
        <v>41</v>
      </c>
      <c r="K21" s="30"/>
      <c r="L21" s="30"/>
      <c r="M21" s="30"/>
      <c r="N21" s="30"/>
      <c r="O21" s="30"/>
      <c r="P21" s="31"/>
      <c r="Q21" s="31"/>
      <c r="R21" s="17">
        <v>46049</v>
      </c>
      <c r="S21" s="31"/>
      <c r="T21" s="31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28">
        <v>9</v>
      </c>
      <c r="AF21" s="16">
        <v>32</v>
      </c>
      <c r="AG21" s="38"/>
      <c r="AH21" s="43" t="s">
        <v>50</v>
      </c>
      <c r="AI21" s="25" t="s">
        <v>43</v>
      </c>
      <c r="AJ21" s="5"/>
      <c r="AK21" s="5"/>
      <c r="AL21" s="16">
        <v>0</v>
      </c>
      <c r="AM21" s="8">
        <v>0</v>
      </c>
      <c r="AN21" s="23"/>
    </row>
    <row r="22" spans="1:40">
      <c r="A22" s="16">
        <v>2</v>
      </c>
      <c r="B22" s="26" t="s">
        <v>40</v>
      </c>
      <c r="C22" s="30"/>
      <c r="D22" s="17">
        <v>46049</v>
      </c>
      <c r="E22" s="8"/>
      <c r="F22" s="5"/>
      <c r="G22" s="5"/>
      <c r="H22" s="8"/>
      <c r="I22" s="8" t="str">
        <f>MID(J22, 1, 4)</f>
        <v>V429</v>
      </c>
      <c r="J22" s="8" t="s">
        <v>41</v>
      </c>
      <c r="K22" s="30"/>
      <c r="L22" s="30"/>
      <c r="M22" s="30"/>
      <c r="N22" s="30"/>
      <c r="O22" s="30"/>
      <c r="P22" s="31"/>
      <c r="Q22" s="31"/>
      <c r="R22" s="17">
        <v>46049</v>
      </c>
      <c r="S22" s="31"/>
      <c r="T22" s="31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28">
        <v>9.5</v>
      </c>
      <c r="AF22" s="16">
        <v>32</v>
      </c>
      <c r="AG22" s="38"/>
      <c r="AH22" s="43" t="s">
        <v>64</v>
      </c>
      <c r="AI22" s="25" t="s">
        <v>43</v>
      </c>
      <c r="AJ22" s="5"/>
      <c r="AK22" s="5"/>
      <c r="AL22" s="16">
        <v>0</v>
      </c>
      <c r="AM22" s="8">
        <v>0</v>
      </c>
      <c r="AN22" s="23"/>
    </row>
    <row r="23" spans="1:40">
      <c r="A23" s="4">
        <v>2</v>
      </c>
      <c r="B23" s="39" t="s">
        <v>65</v>
      </c>
      <c r="D23" s="21">
        <v>46049</v>
      </c>
      <c r="E23" s="40"/>
      <c r="I23" s="4" t="str">
        <f>MID(J23, 1, 4)</f>
        <v>V429</v>
      </c>
      <c r="J23" s="36" t="s">
        <v>41</v>
      </c>
      <c r="K23" s="33"/>
      <c r="L23" s="33"/>
      <c r="M23" s="33"/>
      <c r="N23" s="33"/>
      <c r="O23" s="33"/>
      <c r="P23" s="37"/>
      <c r="Q23" s="37"/>
      <c r="R23" s="21">
        <v>46049</v>
      </c>
      <c r="S23" s="37"/>
      <c r="T23" s="37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29">
        <v>10</v>
      </c>
      <c r="AF23" s="13">
        <v>32</v>
      </c>
      <c r="AH23" s="44" t="s">
        <v>66</v>
      </c>
      <c r="AI23" s="4" t="s">
        <v>43</v>
      </c>
      <c r="AL23" s="2">
        <v>10</v>
      </c>
      <c r="AM23" s="14">
        <v>25</v>
      </c>
      <c r="AN23" s="23"/>
    </row>
    <row r="24" spans="1:40">
      <c r="A24" s="4">
        <v>2</v>
      </c>
      <c r="B24" s="39" t="s">
        <v>67</v>
      </c>
      <c r="D24" s="21">
        <v>46049</v>
      </c>
      <c r="E24" s="40"/>
      <c r="I24" s="4" t="str">
        <f>MID(J24, 1, 4)</f>
        <v>V429</v>
      </c>
      <c r="J24" s="36" t="s">
        <v>41</v>
      </c>
      <c r="K24" s="33"/>
      <c r="L24" s="33"/>
      <c r="M24" s="33"/>
      <c r="N24" s="33"/>
      <c r="O24" s="33"/>
      <c r="P24" s="37"/>
      <c r="Q24" s="37"/>
      <c r="R24" s="21">
        <v>46049</v>
      </c>
      <c r="S24" s="37"/>
      <c r="T24" s="37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29">
        <v>11</v>
      </c>
      <c r="AF24" s="13">
        <v>32</v>
      </c>
      <c r="AH24" s="44" t="s">
        <v>68</v>
      </c>
      <c r="AI24" s="4" t="s">
        <v>43</v>
      </c>
      <c r="AL24" s="2">
        <v>11</v>
      </c>
      <c r="AM24" s="14">
        <v>25</v>
      </c>
      <c r="AN24" s="23"/>
    </row>
    <row r="25" spans="1:40">
      <c r="A25" s="4">
        <v>2</v>
      </c>
      <c r="B25" s="27" t="s">
        <v>67</v>
      </c>
      <c r="C25" s="34"/>
      <c r="D25" s="21">
        <v>46049</v>
      </c>
      <c r="E25" s="24"/>
      <c r="F25" s="33"/>
      <c r="G25" s="35"/>
      <c r="H25" s="33"/>
      <c r="I25" s="4" t="str">
        <f>MID(J25, 1, 4)</f>
        <v>V429</v>
      </c>
      <c r="J25" s="4" t="s">
        <v>41</v>
      </c>
      <c r="K25" s="33"/>
      <c r="L25" s="33"/>
      <c r="M25" s="33"/>
      <c r="N25" s="33"/>
      <c r="O25" s="33"/>
      <c r="P25" s="37"/>
      <c r="Q25" s="37"/>
      <c r="R25" s="21">
        <v>46049</v>
      </c>
      <c r="S25" s="37"/>
      <c r="T25" s="37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29">
        <v>11</v>
      </c>
      <c r="AF25" s="13">
        <v>32</v>
      </c>
      <c r="AG25" s="41"/>
      <c r="AH25" s="47" t="s">
        <v>69</v>
      </c>
      <c r="AI25" s="42" t="s">
        <v>43</v>
      </c>
      <c r="AJ25" s="15"/>
      <c r="AK25" s="15"/>
      <c r="AL25" s="2">
        <v>11</v>
      </c>
      <c r="AM25" s="14">
        <v>25</v>
      </c>
      <c r="AN25" s="23"/>
    </row>
    <row r="26" spans="1:40">
      <c r="A26" s="4">
        <v>2</v>
      </c>
      <c r="B26" s="27" t="s">
        <v>44</v>
      </c>
      <c r="C26" s="34"/>
      <c r="D26" s="21">
        <v>46049</v>
      </c>
      <c r="E26" s="24"/>
      <c r="F26" s="33"/>
      <c r="G26" s="35"/>
      <c r="H26" s="33"/>
      <c r="I26" s="4" t="str">
        <f>MID(J26, 1, 4)</f>
        <v>V429</v>
      </c>
      <c r="J26" s="4" t="s">
        <v>41</v>
      </c>
      <c r="K26" s="33"/>
      <c r="L26" s="33"/>
      <c r="M26" s="33"/>
      <c r="N26" s="33"/>
      <c r="O26" s="33"/>
      <c r="P26" s="37"/>
      <c r="Q26" s="37"/>
      <c r="R26" s="21">
        <v>46049</v>
      </c>
      <c r="S26" s="37"/>
      <c r="T26" s="37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29">
        <v>11</v>
      </c>
      <c r="AF26" s="13">
        <v>32</v>
      </c>
      <c r="AG26" s="41"/>
      <c r="AH26" s="46" t="s">
        <v>62</v>
      </c>
      <c r="AI26" s="42" t="s">
        <v>43</v>
      </c>
      <c r="AJ26" s="15"/>
      <c r="AK26" s="15"/>
      <c r="AL26" s="2">
        <v>11</v>
      </c>
      <c r="AM26" s="14">
        <v>25</v>
      </c>
      <c r="AN26" s="23"/>
    </row>
    <row r="27" spans="1:40">
      <c r="A27" s="4">
        <v>2</v>
      </c>
      <c r="B27" s="27" t="s">
        <v>51</v>
      </c>
      <c r="C27" s="34"/>
      <c r="D27" s="21">
        <v>46049</v>
      </c>
      <c r="E27" s="24"/>
      <c r="F27" s="33"/>
      <c r="G27" s="35"/>
      <c r="H27" s="33"/>
      <c r="I27" s="4" t="str">
        <f>MID(J27, 1, 4)</f>
        <v>V429</v>
      </c>
      <c r="J27" s="4" t="s">
        <v>41</v>
      </c>
      <c r="K27" s="33"/>
      <c r="L27" s="33"/>
      <c r="M27" s="33"/>
      <c r="N27" s="33"/>
      <c r="O27" s="33"/>
      <c r="P27" s="37"/>
      <c r="Q27" s="37"/>
      <c r="R27" s="21">
        <v>46049</v>
      </c>
      <c r="S27" s="37"/>
      <c r="T27" s="37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29">
        <v>11</v>
      </c>
      <c r="AF27" s="13">
        <v>32</v>
      </c>
      <c r="AG27" s="41"/>
      <c r="AH27" s="47" t="s">
        <v>70</v>
      </c>
      <c r="AI27" s="42" t="s">
        <v>43</v>
      </c>
      <c r="AJ27" s="15"/>
      <c r="AK27" s="15"/>
      <c r="AL27" s="2">
        <v>11</v>
      </c>
      <c r="AM27" s="14">
        <v>25</v>
      </c>
      <c r="AN27" s="23"/>
    </row>
    <row r="28" spans="1:40">
      <c r="A28" s="4">
        <v>2</v>
      </c>
      <c r="B28" s="27" t="s">
        <v>51</v>
      </c>
      <c r="C28" s="34"/>
      <c r="D28" s="21">
        <v>46049</v>
      </c>
      <c r="E28" s="24"/>
      <c r="F28" s="33"/>
      <c r="G28" s="35"/>
      <c r="H28" s="33"/>
      <c r="I28" s="4" t="str">
        <f>MID(J28, 1, 4)</f>
        <v>V429</v>
      </c>
      <c r="J28" s="4" t="s">
        <v>41</v>
      </c>
      <c r="K28" s="33"/>
      <c r="L28" s="33"/>
      <c r="M28" s="33"/>
      <c r="N28" s="33"/>
      <c r="O28" s="33"/>
      <c r="P28" s="37"/>
      <c r="Q28" s="37"/>
      <c r="R28" s="21">
        <v>46049</v>
      </c>
      <c r="S28" s="37"/>
      <c r="T28" s="37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29">
        <v>11</v>
      </c>
      <c r="AF28" s="13">
        <v>32</v>
      </c>
      <c r="AG28" s="41"/>
      <c r="AH28" s="47" t="s">
        <v>71</v>
      </c>
      <c r="AI28" s="42" t="s">
        <v>43</v>
      </c>
      <c r="AJ28" s="15"/>
      <c r="AK28" s="15"/>
      <c r="AL28" s="2">
        <v>11</v>
      </c>
      <c r="AM28" s="14">
        <v>25</v>
      </c>
      <c r="AN28" s="23"/>
    </row>
    <row r="29" spans="1:40">
      <c r="A29" s="4">
        <v>2</v>
      </c>
      <c r="B29" s="27" t="s">
        <v>72</v>
      </c>
      <c r="C29" s="34"/>
      <c r="D29" s="21">
        <v>46049</v>
      </c>
      <c r="E29" s="24"/>
      <c r="F29" s="33"/>
      <c r="G29" s="35"/>
      <c r="H29" s="33"/>
      <c r="I29" s="4" t="str">
        <f>MID(J29, 1, 4)</f>
        <v>V429</v>
      </c>
      <c r="J29" s="4" t="s">
        <v>41</v>
      </c>
      <c r="K29" s="33"/>
      <c r="L29" s="33"/>
      <c r="M29" s="33"/>
      <c r="N29" s="33"/>
      <c r="O29" s="33"/>
      <c r="P29" s="37"/>
      <c r="Q29" s="37"/>
      <c r="R29" s="21">
        <v>46049</v>
      </c>
      <c r="S29" s="37"/>
      <c r="T29" s="37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29">
        <v>11</v>
      </c>
      <c r="AF29" s="13">
        <v>32</v>
      </c>
      <c r="AG29" s="41"/>
      <c r="AH29" s="47" t="s">
        <v>73</v>
      </c>
      <c r="AI29" s="42" t="s">
        <v>43</v>
      </c>
      <c r="AJ29" s="15"/>
      <c r="AK29" s="15"/>
      <c r="AL29" s="2">
        <v>11</v>
      </c>
      <c r="AM29" s="14">
        <v>25</v>
      </c>
      <c r="AN29" s="23"/>
    </row>
    <row r="30" spans="1:40">
      <c r="A30" s="4">
        <v>2</v>
      </c>
      <c r="B30" s="27" t="s">
        <v>74</v>
      </c>
      <c r="C30" s="34"/>
      <c r="D30" s="21">
        <v>46049</v>
      </c>
      <c r="E30" s="24"/>
      <c r="F30" s="33"/>
      <c r="G30" s="35"/>
      <c r="H30" s="33"/>
      <c r="I30" s="4" t="str">
        <f>MID(J30, 1, 4)</f>
        <v>V429</v>
      </c>
      <c r="J30" s="4" t="s">
        <v>41</v>
      </c>
      <c r="K30" s="33"/>
      <c r="L30" s="33"/>
      <c r="M30" s="33"/>
      <c r="N30" s="33"/>
      <c r="O30" s="33"/>
      <c r="P30" s="37"/>
      <c r="Q30" s="37"/>
      <c r="R30" s="21">
        <v>46049</v>
      </c>
      <c r="S30" s="37"/>
      <c r="T30" s="37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29">
        <v>11</v>
      </c>
      <c r="AF30" s="13">
        <v>32</v>
      </c>
      <c r="AG30" s="41"/>
      <c r="AH30" s="47" t="s">
        <v>75</v>
      </c>
      <c r="AI30" s="42" t="s">
        <v>43</v>
      </c>
      <c r="AJ30" s="15"/>
      <c r="AK30" s="15"/>
      <c r="AL30" s="2">
        <v>11</v>
      </c>
      <c r="AM30" s="14">
        <v>25</v>
      </c>
      <c r="AN30" s="23"/>
    </row>
    <row r="31" spans="1:40">
      <c r="A31" s="4">
        <v>2</v>
      </c>
      <c r="B31" s="27" t="s">
        <v>76</v>
      </c>
      <c r="C31" s="34"/>
      <c r="D31" s="21">
        <v>46049</v>
      </c>
      <c r="E31" s="24"/>
      <c r="F31" s="33"/>
      <c r="G31" s="35"/>
      <c r="H31" s="33"/>
      <c r="I31" s="4" t="str">
        <f>MID(J31, 1, 4)</f>
        <v>V429</v>
      </c>
      <c r="J31" s="4" t="s">
        <v>41</v>
      </c>
      <c r="K31" s="33"/>
      <c r="L31" s="33"/>
      <c r="M31" s="33"/>
      <c r="N31" s="33"/>
      <c r="O31" s="33"/>
      <c r="P31" s="37"/>
      <c r="Q31" s="37"/>
      <c r="R31" s="21">
        <v>46049</v>
      </c>
      <c r="S31" s="37"/>
      <c r="T31" s="37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29">
        <v>11</v>
      </c>
      <c r="AF31" s="13">
        <v>32</v>
      </c>
      <c r="AG31" s="41"/>
      <c r="AH31" s="47" t="s">
        <v>77</v>
      </c>
      <c r="AI31" s="42" t="s">
        <v>43</v>
      </c>
      <c r="AJ31" s="15"/>
      <c r="AK31" s="15"/>
      <c r="AL31" s="2">
        <v>1</v>
      </c>
      <c r="AM31" s="14">
        <v>260</v>
      </c>
      <c r="AN31" s="23"/>
    </row>
    <row r="32" spans="1:40">
      <c r="A32" s="16">
        <v>2</v>
      </c>
      <c r="B32" s="26" t="s">
        <v>40</v>
      </c>
      <c r="C32" s="30"/>
      <c r="D32" s="17">
        <v>46049</v>
      </c>
      <c r="E32" s="8"/>
      <c r="F32" s="5"/>
      <c r="G32" s="5"/>
      <c r="H32" s="8"/>
      <c r="I32" s="8" t="str">
        <f>MID(J32, 1, 4)</f>
        <v>V429</v>
      </c>
      <c r="J32" s="8" t="s">
        <v>41</v>
      </c>
      <c r="K32" s="30"/>
      <c r="L32" s="30"/>
      <c r="M32" s="30"/>
      <c r="N32" s="30"/>
      <c r="O32" s="30"/>
      <c r="P32" s="31"/>
      <c r="Q32" s="31"/>
      <c r="R32" s="17">
        <v>46049</v>
      </c>
      <c r="S32" s="31"/>
      <c r="T32" s="31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28">
        <v>11</v>
      </c>
      <c r="AF32" s="16">
        <v>32</v>
      </c>
      <c r="AG32" s="38"/>
      <c r="AH32" s="43" t="s">
        <v>63</v>
      </c>
      <c r="AI32" s="25" t="s">
        <v>43</v>
      </c>
      <c r="AJ32" s="5"/>
      <c r="AK32" s="5"/>
      <c r="AL32" s="16">
        <v>0</v>
      </c>
      <c r="AM32" s="8">
        <v>0</v>
      </c>
      <c r="AN32" s="23"/>
    </row>
    <row r="33" spans="34:34">
      <c r="AH33" s="48"/>
    </row>
  </sheetData>
  <sortState xmlns:xlrd2="http://schemas.microsoft.com/office/spreadsheetml/2017/richdata2" ref="A4:AO30">
    <sortCondition ref="AE4:AE30"/>
  </sortState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BFB6-5D99-4C2B-A4F6-DBAC0A4A7F3F}">
  <dimension ref="A1:H14"/>
  <sheetViews>
    <sheetView workbookViewId="0">
      <selection activeCell="B4" sqref="B4"/>
    </sheetView>
  </sheetViews>
  <sheetFormatPr defaultColWidth="9.140625" defaultRowHeight="15"/>
  <cols>
    <col min="1" max="1" width="7.28515625" bestFit="1" customWidth="1"/>
    <col min="2" max="2" width="36.140625" bestFit="1" customWidth="1"/>
    <col min="4" max="4" width="23" bestFit="1" customWidth="1"/>
    <col min="5" max="5" width="14.85546875" bestFit="1" customWidth="1"/>
    <col min="6" max="6" width="13.7109375" bestFit="1" customWidth="1"/>
    <col min="7" max="7" width="14.85546875" bestFit="1" customWidth="1"/>
    <col min="8" max="8" width="21.7109375" bestFit="1" customWidth="1"/>
  </cols>
  <sheetData>
    <row r="1" spans="1:8">
      <c r="A1" s="10" t="s">
        <v>78</v>
      </c>
      <c r="B1" s="10" t="s">
        <v>79</v>
      </c>
      <c r="D1" s="10" t="s">
        <v>80</v>
      </c>
      <c r="E1" s="10" t="s">
        <v>81</v>
      </c>
      <c r="F1" s="10" t="s">
        <v>82</v>
      </c>
      <c r="G1" s="10" t="s">
        <v>81</v>
      </c>
      <c r="H1" s="10" t="s">
        <v>83</v>
      </c>
    </row>
    <row r="2" spans="1:8">
      <c r="A2" s="7" t="s">
        <v>41</v>
      </c>
      <c r="B2" s="7" t="s">
        <v>84</v>
      </c>
      <c r="D2" s="7" t="s">
        <v>85</v>
      </c>
      <c r="E2" s="7">
        <v>32</v>
      </c>
      <c r="F2" s="7">
        <v>25</v>
      </c>
      <c r="G2" s="7">
        <v>48</v>
      </c>
      <c r="H2" s="7">
        <v>30</v>
      </c>
    </row>
    <row r="3" spans="1:8">
      <c r="A3" s="7" t="s">
        <v>86</v>
      </c>
      <c r="B3" s="7" t="s">
        <v>87</v>
      </c>
      <c r="D3" s="7" t="s">
        <v>65</v>
      </c>
      <c r="E3" s="7">
        <v>32</v>
      </c>
      <c r="F3" s="11">
        <v>25</v>
      </c>
      <c r="G3" s="7">
        <v>48</v>
      </c>
      <c r="H3" s="7">
        <v>30</v>
      </c>
    </row>
    <row r="4" spans="1:8">
      <c r="A4" s="7" t="s">
        <v>56</v>
      </c>
      <c r="B4" s="7" t="s">
        <v>88</v>
      </c>
      <c r="D4" s="7" t="s">
        <v>89</v>
      </c>
      <c r="E4" s="7">
        <v>32</v>
      </c>
      <c r="F4" s="11">
        <v>25</v>
      </c>
      <c r="G4" s="7">
        <v>48</v>
      </c>
      <c r="H4" s="7">
        <v>30</v>
      </c>
    </row>
    <row r="5" spans="1:8">
      <c r="D5" s="7" t="s">
        <v>72</v>
      </c>
      <c r="E5" s="7">
        <v>32</v>
      </c>
      <c r="F5" s="11">
        <v>25</v>
      </c>
      <c r="G5" s="7">
        <v>48</v>
      </c>
      <c r="H5" s="7">
        <v>30</v>
      </c>
    </row>
    <row r="6" spans="1:8">
      <c r="D6" s="7" t="s">
        <v>90</v>
      </c>
      <c r="E6" s="7">
        <v>29</v>
      </c>
      <c r="F6" s="7">
        <v>22.5</v>
      </c>
      <c r="G6" s="7">
        <v>48</v>
      </c>
      <c r="H6" s="12">
        <v>28</v>
      </c>
    </row>
    <row r="7" spans="1:8">
      <c r="D7" s="7" t="s">
        <v>67</v>
      </c>
      <c r="E7" s="7">
        <v>32</v>
      </c>
      <c r="F7" s="11">
        <v>25</v>
      </c>
      <c r="G7" s="7">
        <v>48</v>
      </c>
      <c r="H7" s="7">
        <v>30</v>
      </c>
    </row>
    <row r="8" spans="1:8">
      <c r="D8" s="7" t="s">
        <v>40</v>
      </c>
      <c r="E8" s="7">
        <v>32</v>
      </c>
      <c r="F8" s="7">
        <v>0</v>
      </c>
      <c r="G8" s="7">
        <v>48</v>
      </c>
      <c r="H8" s="7">
        <v>0</v>
      </c>
    </row>
    <row r="9" spans="1:8">
      <c r="D9" s="7" t="s">
        <v>44</v>
      </c>
      <c r="E9" s="7">
        <v>32</v>
      </c>
      <c r="F9" s="11">
        <v>25</v>
      </c>
      <c r="G9" s="7">
        <v>48</v>
      </c>
      <c r="H9" s="7">
        <v>30</v>
      </c>
    </row>
    <row r="10" spans="1:8">
      <c r="D10" s="7" t="s">
        <v>91</v>
      </c>
      <c r="E10" s="7">
        <v>32</v>
      </c>
      <c r="F10" s="11">
        <v>25</v>
      </c>
      <c r="G10" s="7">
        <v>48</v>
      </c>
      <c r="H10" s="7">
        <v>30</v>
      </c>
    </row>
    <row r="11" spans="1:8">
      <c r="D11" s="7" t="s">
        <v>76</v>
      </c>
      <c r="E11" s="7">
        <v>32</v>
      </c>
      <c r="F11" s="12" t="s">
        <v>92</v>
      </c>
      <c r="G11" s="7">
        <v>48</v>
      </c>
      <c r="H11" s="12" t="s">
        <v>93</v>
      </c>
    </row>
    <row r="14" spans="1:8">
      <c r="H14">
        <f>11*25</f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jv</dc:creator>
  <cp:keywords/>
  <dc:description/>
  <cp:lastModifiedBy>Jorge Gallego</cp:lastModifiedBy>
  <cp:revision/>
  <dcterms:created xsi:type="dcterms:W3CDTF">2013-06-10T07:15:14Z</dcterms:created>
  <dcterms:modified xsi:type="dcterms:W3CDTF">2026-02-02T11:02:11Z</dcterms:modified>
  <cp:category/>
  <cp:contentStatus/>
</cp:coreProperties>
</file>